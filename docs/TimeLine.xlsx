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line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Task Completion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'Dashboard'!$A$7:$A$8</f>
            </numRef>
          </cat>
          <val>
            <numRef>
              <f>'Dashboard'!$B$7:$B$8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vTimeline" displayName="DevTimeline" ref="A1:H8" headerRowCount="1">
  <autoFilter ref="A1:H8"/>
  <tableColumns count="8">
    <tableColumn id="1" name="STT"/>
    <tableColumn id="2" name="Ngày"/>
    <tableColumn id="3" name="Giờ"/>
    <tableColumn id="4" name="Task"/>
    <tableColumn id="5" name="Module"/>
    <tableColumn id="6" name="Commit"/>
    <tableColumn id="7" name="Trạng thái"/>
    <tableColumn id="8" name="Ghi chú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50" customWidth="1" min="4" max="4"/>
    <col width="16" customWidth="1" min="5" max="5"/>
    <col width="12" customWidth="1" min="6" max="6"/>
    <col width="14" customWidth="1" min="7" max="7"/>
    <col width="20" customWidth="1" min="8" max="8"/>
  </cols>
  <sheetData>
    <row r="1">
      <c r="A1" s="3" t="inlineStr">
        <is>
          <t>STT</t>
        </is>
      </c>
      <c r="B1" s="3" t="inlineStr">
        <is>
          <t>Ngày</t>
        </is>
      </c>
      <c r="C1" s="3" t="inlineStr">
        <is>
          <t>Giờ</t>
        </is>
      </c>
      <c r="D1" s="3" t="inlineStr">
        <is>
          <t>Task</t>
        </is>
      </c>
      <c r="E1" s="3" t="inlineStr">
        <is>
          <t>Module</t>
        </is>
      </c>
      <c r="F1" s="3" t="inlineStr">
        <is>
          <t>Commit</t>
        </is>
      </c>
      <c r="G1" s="3" t="inlineStr">
        <is>
          <t>Trạng thái</t>
        </is>
      </c>
      <c r="H1" s="3" t="inlineStr">
        <is>
          <t>Ghi chú</t>
        </is>
      </c>
    </row>
    <row r="2">
      <c r="A2" s="4" t="n">
        <v>1</v>
      </c>
      <c r="B2" s="4" t="inlineStr">
        <is>
          <t>2026-03-13</t>
        </is>
      </c>
      <c r="C2" s="4" t="inlineStr">
        <is>
          <t>08:00-09:00</t>
        </is>
      </c>
      <c r="D2" s="4" t="inlineStr">
        <is>
          <t>Delete FiLEmau_STK_Tieu hoc.csv</t>
        </is>
      </c>
      <c r="E2" s="4" t="inlineStr">
        <is>
          <t>Cleanup</t>
        </is>
      </c>
      <c r="F2" s="4" t="inlineStr">
        <is>
          <t>90ed7c1</t>
        </is>
      </c>
      <c r="G2" s="4" t="inlineStr">
        <is>
          <t>Hoàn thành</t>
        </is>
      </c>
      <c r="H2" s="4" t="inlineStr"/>
    </row>
    <row r="3">
      <c r="A3" s="4" t="n">
        <v>2</v>
      </c>
      <c r="B3" s="4" t="inlineStr">
        <is>
          <t>2026-03-13</t>
        </is>
      </c>
      <c r="C3" s="4" t="inlineStr">
        <is>
          <t>09:00-10:00</t>
        </is>
      </c>
      <c r="D3" s="4" t="inlineStr">
        <is>
          <t>Align env.example with local setup (no secrets)</t>
        </is>
      </c>
      <c r="E3" s="4" t="inlineStr">
        <is>
          <t>Core/Config</t>
        </is>
      </c>
      <c r="F3" s="4" t="inlineStr">
        <is>
          <t>dccc41b</t>
        </is>
      </c>
      <c r="G3" s="4" t="inlineStr">
        <is>
          <t>Hoàn thành</t>
        </is>
      </c>
      <c r="H3" s="4" t="inlineStr"/>
    </row>
    <row r="4">
      <c r="A4" s="4" t="n">
        <v>3</v>
      </c>
      <c r="B4" s="4" t="inlineStr">
        <is>
          <t>2026-03-13</t>
        </is>
      </c>
      <c r="C4" s="4" t="inlineStr">
        <is>
          <t>10:00-11:00</t>
        </is>
      </c>
      <c r="D4" s="4" t="inlineStr">
        <is>
          <t>Add admin books UI demo and cleanup</t>
        </is>
      </c>
      <c r="E4" s="4" t="inlineStr">
        <is>
          <t>Admin UI</t>
        </is>
      </c>
      <c r="F4" s="4" t="inlineStr">
        <is>
          <t>82976b5</t>
        </is>
      </c>
      <c r="G4" s="4" t="inlineStr">
        <is>
          <t>Hoàn thành</t>
        </is>
      </c>
      <c r="H4" s="4" t="inlineStr"/>
    </row>
    <row r="5">
      <c r="A5" s="4" t="n">
        <v>4</v>
      </c>
      <c r="B5" s="4" t="inlineStr">
        <is>
          <t>2026-03-13</t>
        </is>
      </c>
      <c r="C5" s="4" t="inlineStr">
        <is>
          <t>11:00-12:00</t>
        </is>
      </c>
      <c r="D5" s="4" t="inlineStr">
        <is>
          <t>align dependencies with php 8.2</t>
        </is>
      </c>
      <c r="E5" s="4" t="inlineStr">
        <is>
          <t>Core/Config</t>
        </is>
      </c>
      <c r="F5" s="4" t="inlineStr">
        <is>
          <t>069ec58</t>
        </is>
      </c>
      <c r="G5" s="4" t="inlineStr">
        <is>
          <t>Hoàn thành</t>
        </is>
      </c>
      <c r="H5" s="4" t="inlineStr"/>
    </row>
    <row r="6">
      <c r="A6" s="4" t="n">
        <v>5</v>
      </c>
      <c r="B6" s="4" t="inlineStr">
        <is>
          <t>2026-03-13</t>
        </is>
      </c>
      <c r="C6" s="4" t="inlineStr">
        <is>
          <t>13:00-14:00</t>
        </is>
      </c>
      <c r="D6" s="4" t="inlineStr">
        <is>
          <t>Delete thuvien directory</t>
        </is>
      </c>
      <c r="E6" s="4" t="inlineStr">
        <is>
          <t>Cleanup</t>
        </is>
      </c>
      <c r="F6" s="4" t="inlineStr">
        <is>
          <t>0b3adb7</t>
        </is>
      </c>
      <c r="G6" s="4" t="inlineStr">
        <is>
          <t>Hoàn thành</t>
        </is>
      </c>
      <c r="H6" s="4" t="inlineStr"/>
    </row>
    <row r="7">
      <c r="A7" s="4" t="n">
        <v>6</v>
      </c>
      <c r="B7" s="4" t="inlineStr">
        <is>
          <t>2026-03-13</t>
        </is>
      </c>
      <c r="C7" s="4" t="inlineStr">
        <is>
          <t>14:00-15:00</t>
        </is>
      </c>
      <c r="D7" s="4" t="inlineStr">
        <is>
          <t>update admin Navigation</t>
        </is>
      </c>
      <c r="E7" s="4" t="inlineStr">
        <is>
          <t>Admin UI</t>
        </is>
      </c>
      <c r="F7" s="4" t="inlineStr">
        <is>
          <t>98752be</t>
        </is>
      </c>
      <c r="G7" s="4" t="inlineStr">
        <is>
          <t>Hoàn thành</t>
        </is>
      </c>
      <c r="H7" s="4" t="inlineStr"/>
    </row>
    <row r="8">
      <c r="A8" s="4" t="n">
        <v>7</v>
      </c>
      <c r="B8" s="4" t="inlineStr">
        <is>
          <t>2026-03-16</t>
        </is>
      </c>
      <c r="C8" s="4" t="inlineStr">
        <is>
          <t>08:00-09:00</t>
        </is>
      </c>
      <c r="D8" s="4" t="inlineStr">
        <is>
          <t>Fix user updates, update search UI trash.</t>
        </is>
      </c>
      <c r="E8" s="4" t="inlineStr">
        <is>
          <t>User</t>
        </is>
      </c>
      <c r="F8" s="4" t="inlineStr">
        <is>
          <t>8064de7</t>
        </is>
      </c>
      <c r="G8" s="4" t="inlineStr">
        <is>
          <t>Hoàn thành</t>
        </is>
      </c>
      <c r="H8" s="4" t="inlineStr"/>
    </row>
  </sheetData>
  <conditionalFormatting sqref="G2:G8">
    <cfRule type="expression" priority="1" dxfId="0">
      <formula>$G2="Hoàn thành"</formula>
    </cfRule>
    <cfRule type="expression" priority="2" dxfId="1">
      <formula>$G2="Đang làm"</formula>
    </cfRule>
    <cfRule type="expression" priority="3" dxfId="2">
      <formula>$G2="Trễ hạn"</formula>
    </cfRule>
  </conditionalFormatting>
  <dataValidations count="1">
    <dataValidation sqref="G2:G200" showDropDown="0" showInputMessage="0" showErrorMessage="0" allowBlank="0" type="list">
      <formula1>"Chưa làm,Đang làm,Hoàn thành,Trễ hạn"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Tổng task</t>
        </is>
      </c>
      <c r="B1">
        <f>COUNTA(Timeline!D:D)-1</f>
        <v/>
      </c>
    </row>
    <row r="2">
      <c r="A2" s="2" t="inlineStr">
        <is>
          <t>Hoàn thành</t>
        </is>
      </c>
      <c r="B2">
        <f>COUNTIF(Timeline!G:G,"Hoàn thành")</f>
        <v/>
      </c>
    </row>
    <row r="3">
      <c r="A3" s="2" t="inlineStr">
        <is>
          <t>Đang làm</t>
        </is>
      </c>
      <c r="B3">
        <f>COUNTIF(Timeline!G:G,"Đang làm")</f>
        <v/>
      </c>
    </row>
    <row r="4">
      <c r="A4" s="2" t="inlineStr">
        <is>
          <t>Trễ hạn</t>
        </is>
      </c>
      <c r="B4">
        <f>COUNTIF(Timeline!G:G,"Trễ hạn")</f>
        <v/>
      </c>
    </row>
    <row r="5">
      <c r="A5" s="2" t="inlineStr">
        <is>
          <t>Tiến độ</t>
        </is>
      </c>
      <c r="B5">
        <f>B2/B1</f>
        <v/>
      </c>
    </row>
    <row r="7">
      <c r="A7" t="inlineStr">
        <is>
          <t>Done Tasks</t>
        </is>
      </c>
      <c r="B7">
        <f>COUNTIF(Timeline!G:G,"Hoàn thành")</f>
        <v/>
      </c>
    </row>
    <row r="8">
      <c r="A8" t="inlineStr">
        <is>
          <t>Total Tasks</t>
        </is>
      </c>
      <c r="B8">
        <f>COUNTA(Timeline!D:D)-1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2026-03-16T06:14:51Z</dcterms:created>
  <dcterms:modified xmlns:dcterms="http://purl.org/dc/terms/" xmlns:xsi="http://www.w3.org/2001/XMLSchema-instance" xsi:type="dcterms:W3CDTF">2026-03-16T06:27:07Z</dcterms:modified>
</cp:coreProperties>
</file>